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F:\north_root\Library\Scripts\ECA\Documentation\"/>
    </mc:Choice>
  </mc:AlternateContent>
  <xr:revisionPtr revIDLastSave="0" documentId="13_ncr:1_{FE1C33EA-5FA2-4380-8D5D-1A4C6374372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Current Process" sheetId="5" r:id="rId1"/>
    <sheet name="Data Sources" sheetId="2" r:id="rId2"/>
    <sheet name="Recovery Curves" sheetId="6" r:id="rId3"/>
  </sheets>
  <definedNames>
    <definedName name="_Toc199171415" localSheetId="0">'Current Process'!#REF!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5" l="1"/>
  <c r="D21" i="5" s="1"/>
  <c r="C21" i="5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<sst xmlns="http://schemas.openxmlformats.org/spreadsheetml/2006/main" count="151" uniqueCount="123">
  <si>
    <t>Foresite</t>
  </si>
  <si>
    <t>Cutblocks</t>
  </si>
  <si>
    <t>Disturbance Factors</t>
  </si>
  <si>
    <t>Specified Watershed Boundary</t>
  </si>
  <si>
    <t>Natural non-productive areas (e.g., rock outcrops and wetlands) were assigned an ECA of zero as they reflect natural conditions.</t>
  </si>
  <si>
    <t>Would also be zero in our analysis</t>
  </si>
  <si>
    <t>Takes into account VRI polygons &lt;40 years old but not associated with published harvest data</t>
  </si>
  <si>
    <t>ECA post-wildfire = ECA pre-wildfire + ((100- ECA pre-wildfire) x CBS)
Where:
CBS = burn severity coefficient assigned as follows:
low severity burn = 0.1,
medium severity burn = 0.5, and
high severity burn = 0.8</t>
  </si>
  <si>
    <t>Roads never regenerate</t>
  </si>
  <si>
    <t xml:space="preserve">Cultivated/agricultural lands </t>
  </si>
  <si>
    <t>No difference</t>
  </si>
  <si>
    <t>This report compares the method used by Foresite to assess ECA (Equivalent Clearcut Area) for a given watershed boundary compared to the method BCTS currently uses.  Though this was created for a request, this would be a useful starting point for us (BCTS) to revamp our ECA calculation to incorprate more factors into our analysis.</t>
  </si>
  <si>
    <t>Wildfire Boundaries all treated as 100% ECA</t>
  </si>
  <si>
    <t>Watershed Area (ha)</t>
  </si>
  <si>
    <t xml:space="preserve">ECA Method Comparison - A2109 Blks CAR 216 &amp; 269 </t>
  </si>
  <si>
    <t>Maps</t>
  </si>
  <si>
    <t>Watershed</t>
  </si>
  <si>
    <t>Elevation</t>
  </si>
  <si>
    <t>Total ECA %</t>
  </si>
  <si>
    <t>LiDAR-derived Watershed Boundaries</t>
  </si>
  <si>
    <t>Private Land</t>
  </si>
  <si>
    <t>Transmission Lines</t>
  </si>
  <si>
    <t>Pipelines</t>
  </si>
  <si>
    <t>Huggard Curves applied to Pine impacted by Forest Health Factors.  Calculation based on full pine stand %, site index and years since attack</t>
  </si>
  <si>
    <t>2015 "Rita Curve" and revised curve for stands that will never achieve a mature height of &gt;=25m</t>
  </si>
  <si>
    <t>Room for Improvement</t>
  </si>
  <si>
    <t>Comments</t>
  </si>
  <si>
    <t>Fire and Insect</t>
  </si>
  <si>
    <t>Considers H60/H40</t>
  </si>
  <si>
    <t>Private land is 100% ECA</t>
  </si>
  <si>
    <t>Rail</t>
  </si>
  <si>
    <t>TSG</t>
  </si>
  <si>
    <t>in FME</t>
  </si>
  <si>
    <t>work with client to see legal boundaries of what ECA requires.  This is typically within FSP, in supplemental document</t>
  </si>
  <si>
    <t>NGSC</t>
  </si>
  <si>
    <t>delineate reason for outcrops - natural or man induced, etc</t>
  </si>
  <si>
    <t>same</t>
  </si>
  <si>
    <t>leave them out completely.  Then road analyses does weighted calculation which is added on.  Alder assumed to be 50% recovery</t>
  </si>
  <si>
    <t>try to estimate from adjacent VRI using species, age and site index</t>
  </si>
  <si>
    <t xml:space="preserve">Glennis-Horel </t>
  </si>
  <si>
    <t>Source</t>
  </si>
  <si>
    <t>Query</t>
  </si>
  <si>
    <t>Consolidated Cutblocks</t>
  </si>
  <si>
    <t>height or date harvested</t>
  </si>
  <si>
    <t>Burn Severity</t>
  </si>
  <si>
    <t>WHSE_FOREST_VEGETATION.VEG_BURN_SEVERITY_SP</t>
  </si>
  <si>
    <t>WHSE_FOREST_VEGETATION.VEG_BURN_SEVERITY_SAME_YR_SP</t>
  </si>
  <si>
    <t>current fires</t>
  </si>
  <si>
    <t>Burn Severity Previous Year</t>
  </si>
  <si>
    <t>already taking WTRA into account, no need to erase</t>
  </si>
  <si>
    <t>BCTS Blocks</t>
  </si>
  <si>
    <t>Roads</t>
  </si>
  <si>
    <t>Hist Fires before burn severity (2015)</t>
  </si>
  <si>
    <t>non recovering</t>
  </si>
  <si>
    <t>recovering</t>
  </si>
  <si>
    <t>Height (m)</t>
  </si>
  <si>
    <t>% Recovery</t>
  </si>
  <si>
    <t>0–&lt;3</t>
  </si>
  <si>
    <t>3–&lt;5</t>
  </si>
  <si>
    <t>5–&lt;7</t>
  </si>
  <si>
    <t>7–&lt;9</t>
  </si>
  <si>
    <t>9+</t>
  </si>
  <si>
    <t xml:space="preserve">         </t>
  </si>
  <si>
    <t>Updated NGSC</t>
  </si>
  <si>
    <t>unburned = 0%
low severity burn = 10%,
medium severity burn = 50%
high severity burn = 80%
no burn severity data = 100%</t>
  </si>
  <si>
    <t>All pest layers, ECA based on % dead:
trace = 1%
light = 5%
moderate = 20%
severe = 40%
very severe = 60%</t>
  </si>
  <si>
    <t>WHSE_FOREST_VEGETATION.VEG_CONSOLIDATED_CUT_BLOCKS_SP</t>
  </si>
  <si>
    <t>WHSE_FOREST_VEGETATION.PEST_INFEST_HISTORIC_POLY
WHSE_FOREST_VEGETATION.PEST_INFEST_CURRENT_POLY</t>
  </si>
  <si>
    <t>WHSE_LAND_AND_NATURAL_RESOURCE.PROT_HISTORICAL_FIRE_POLYS_SP</t>
  </si>
  <si>
    <t>WHSE_LAND_AND_NATURAL_RESOURCE.PROT_CURRENT_FIRE_POLYS_SP</t>
  </si>
  <si>
    <t>WHSE_CADASTRE.PMBC_PARCEL_FABRIC_POLY_FA_SVW</t>
  </si>
  <si>
    <t>WHSE_BASEMAPPING.GBA_RAILWAY_TRACKS_SP</t>
  </si>
  <si>
    <t>TRACK_CLASSIFICATION IN ('Connecting', 'Main')</t>
  </si>
  <si>
    <t>FORESTVIEW.SV_BLOCK</t>
  </si>
  <si>
    <t>minus WTRA</t>
  </si>
  <si>
    <t>trace = 1%
light = 5%
moderate = 20%
severe = 40%
very severe = 60%</t>
  </si>
  <si>
    <t>OWNER_TYPE = 'Private'</t>
  </si>
  <si>
    <t>Type</t>
  </si>
  <si>
    <t>Starting ECA</t>
  </si>
  <si>
    <t>Factor</t>
  </si>
  <si>
    <t>Don't see a point in changing this, we are asked to do them on the watershed boundaries, not derive our own</t>
  </si>
  <si>
    <t xml:space="preserve">Increases ECA values </t>
  </si>
  <si>
    <t>Private land is 75% ECA</t>
  </si>
  <si>
    <t>Pipelines, Transmission Lines, Railways, Agriculture lands</t>
  </si>
  <si>
    <t>Decreases ECA values slightly</t>
  </si>
  <si>
    <t xml:space="preserve">VRI </t>
  </si>
  <si>
    <t>n/a</t>
  </si>
  <si>
    <t>based on height</t>
  </si>
  <si>
    <t>WHSE_FOREST_VEGETATION.VEG_COMP_LYR_R1_POLY</t>
  </si>
  <si>
    <t>PROJ_AGE_1 &lt; 40</t>
  </si>
  <si>
    <t>WHSE_TANTALIS.TA_CROWN_TENURES_SVW</t>
  </si>
  <si>
    <t>NOT(TENURE_STAGE = 'APPLICATION' AND APPLICATION_TYPE_CDE = 'NEW') AND TENURE_SUBTYPE NOT IN('INVESTIGATIVE LICENCE') AND TENURE_SUBPURPOSE IN ('TRANSMISSION LINE', 'ELECTRIC POWER LINE')</t>
  </si>
  <si>
    <t>FCODE IN ( 'EA06100000', 'EA06100130')</t>
  </si>
  <si>
    <t>WHSE_BASEMAPPING.GBA_TRANSMISSION_LINES_SP</t>
  </si>
  <si>
    <t>\\Spatialfiles.bcgov\work\ilmb\PEP\data_restricted\Critical_Infrastructure\Hydro\BCHydro.gdb\OH_PRIMARY</t>
  </si>
  <si>
    <t>\\Spatialfiles.bcgov\work\ilmb\PEP\data_restricted\Critical_Infrastructure\Hydro\BCHydro.gdb\UG_PRIMARY</t>
  </si>
  <si>
    <t>\\Spatialfiles.bcgov\work\ilmb\PEP\data_restricted\Critical_Infrastructure\Hydro\FortisBC_Electric.gdb\TRANSMISSION_OH_LINES</t>
  </si>
  <si>
    <t>\\Spatialfiles.bcgov\work\ilmb\PEP\data_restricted\Critical_Infrastructure\Hydro\FortisBC_Electric.gdb\DIST_PRIMARY_OH_CONDUCTOR</t>
  </si>
  <si>
    <t>WHSE_IMAGERY_AND_BASE_MAPS.DRP_OIL_GAS_PIPELINES_BC_SP</t>
  </si>
  <si>
    <t>OPERATIONAL_STATUS IN ( 'ACTIVE', 'APPROVED', 'OPERATING')</t>
  </si>
  <si>
    <t>STATUS NOT IN ('Removed', 'Proposed')</t>
  </si>
  <si>
    <t>\\Spatialfiles.bcgov\work\ilmb\PEP\data_restricted\Critical_Infrastructure\Oil_and_Gas\FortisBC_Gas.gdb\TRANSMISSION_PIPE</t>
  </si>
  <si>
    <t>\\Spatialfiles.bcgov\work\ilmb\PEP\data_restricted\Critical_Infrastructure\Oil_and_Gas\PacificNorthernGas.gdb\GAS_LINE</t>
  </si>
  <si>
    <t>\\Spatialfiles.bcgov\work\ilmb\PEP\data_restricted\Critical_Infrastructure\Oil_and_Gas\Enbridge.gdb\PIPELINE</t>
  </si>
  <si>
    <t>\\Spatialfiles.bcgov\work\ilmb\PEP\data_restricted\Critical_Infrastructure\Oil_and_Gas\KinderMorgan.gdb\PIPELINE_CENTERLINE</t>
  </si>
  <si>
    <t>WHSE_MINERAL_TENURE.OG_PIPELINE_AREA_PERMIT_SP</t>
  </si>
  <si>
    <t>CONSTRUCTION_DESC = 'Constructed' AND LAND_STAGE_EFF_DATE &gt; timestamp '2010-12-12 11:22:07'</t>
  </si>
  <si>
    <t>APPLICATION_TYPE_CDE &lt;&gt; 'NEW' AND TENURE_SUBTYPE &lt;&gt; 'INVESTIGATIVE LICENCE' AND TENURE_STAGE = 'TENURE' AND TENURE_SUBPURPOSE = 'GAS AND OIL PIPELINE' AND CROWN_LANDS_FILE &lt;&gt;'0343439' OR INTRID_SID IN (260032, 265936, 899535, 878882)</t>
  </si>
  <si>
    <t xml:space="preserve">
WHSE_FOREST_TENURE.FTEN_ROAD_SECTION_LINES_SVW</t>
  </si>
  <si>
    <t>FOREST.migration_dataset\FOREST.ROAD_SHAPE</t>
  </si>
  <si>
    <t>Matched Foresite method with two curves, one for those with SITE_INDEX &gt;=12 (assumed to reach 25m) and one for SITE_INDEX &lt;12 (20m height assumed)</t>
  </si>
  <si>
    <t>Calculate Burn Severity for fires missing from FAIB data.  Using Kyle's script.</t>
  </si>
  <si>
    <t>is this results?</t>
  </si>
  <si>
    <t>removed - April 23 2026</t>
  </si>
  <si>
    <t>chose not to include these as of April 2026, since they don't necessarily mean disturbance.  Could be shorter stands due to elevation, sandy/rock soil.  Remote sensing data unreliable</t>
  </si>
  <si>
    <t>Winkler, R. and S. Boon, 2015. Revised snow recovery estimates for pine-dominated forests in interior British Columbia. Province of B.C., Victoria, B.C.</t>
  </si>
  <si>
    <t>Available from:</t>
  </si>
  <si>
    <t>http://www.for.gov.bc.ca/hfd/pubs/docs/en/EN116.PDF [Accessed 29 Oct 2024]</t>
  </si>
  <si>
    <r>
      <t xml:space="preserve">Provincial Aquatic Ecosystems Technical Working Group – Ministry of Environment and Climate Change Strategy and Ministry of Forests, Lands and Natural Resource Operations and Rural Development, December 2020. </t>
    </r>
    <r>
      <rPr>
        <i/>
        <sz val="10"/>
        <color theme="1"/>
        <rFont val="Calibri"/>
        <family val="2"/>
        <scheme val="minor"/>
      </rPr>
      <t>Interim Assessment Protocol for Aquatic Ecosystems in British Columbia – Standards for Assessing the Condition of Aquatic Ecosystems under British Columbia’s Cumulative Effects Framework</t>
    </r>
    <r>
      <rPr>
        <sz val="10"/>
        <color theme="1"/>
        <rFont val="Calibri"/>
        <family val="2"/>
        <scheme val="minor"/>
      </rPr>
      <t>. Available from:</t>
    </r>
  </si>
  <si>
    <t>https://www2.gov.bc.ca/assets/gov/environment/natural-resource-stewardship/cumulative-effects/protocols/cef-aquatic-ecosystems-protocol-dec2020.pdf  [Accessed 29 Oct 2024]</t>
  </si>
  <si>
    <t>site_index &gt;= 12 --&gt; 25m height expectancy</t>
  </si>
  <si>
    <t>site_index &lt; 12 --&gt; 20m heigh expectancy</t>
  </si>
  <si>
    <t>chose not to include these as of April 2026, since they don't necessarily mean disturbance.  Remote sensing data unreliable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</si>
</sst>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5.5"/>
      <color rgb="FF006100"/>
      <name val="Calibri"/>
      <family val="2"/>
      <scheme val="minor"/>
    </font>
    <font>
      <sz val="5.5"/>
      <color theme="1"/>
      <name val="Calibri"/>
      <family val="2"/>
      <scheme val="minor"/>
    </font>
    <font>
      <sz val="5.5"/>
      <color theme="0" tint="-0.249977111117893"/>
      <name val="Calibri"/>
      <family val="2"/>
      <scheme val="minor"/>
    </font>
    <font>
      <strike/>
      <sz val="5.5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5" fillId="5" borderId="7" applyNumberFormat="0" applyFont="0" applyAlignment="0" applyProtection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right"/>
    </xf>
    <xf numFmtId="10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2" fillId="0" borderId="2" xfId="0" applyFont="1" applyBorder="1" applyAlignment="1">
      <alignment vertical="center" wrapText="1"/>
    </xf>
    <xf numFmtId="0" fontId="1" fillId="2" borderId="6" xfId="0" applyFont="1" applyFill="1" applyBorder="1"/>
    <xf numFmtId="0" fontId="2" fillId="0" borderId="6" xfId="0" applyFont="1" applyBorder="1" applyAlignment="1">
      <alignment vertical="center"/>
    </xf>
    <xf numFmtId="0" fontId="4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7" fillId="5" borderId="7" xfId="2" applyFont="1" applyAlignment="1">
      <alignment vertical="center" wrapText="1"/>
    </xf>
    <xf numFmtId="0" fontId="9" fillId="0" borderId="0" xfId="0" applyFont="1" applyAlignment="1">
      <alignment wrapText="1"/>
    </xf>
    <xf numFmtId="9" fontId="9" fillId="0" borderId="0" xfId="0" applyNumberFormat="1" applyFont="1" applyAlignment="1">
      <alignment wrapText="1"/>
    </xf>
    <xf numFmtId="0" fontId="8" fillId="4" borderId="8" xfId="1" applyFont="1" applyBorder="1" applyAlignment="1">
      <alignment wrapText="1"/>
    </xf>
    <xf numFmtId="0" fontId="9" fillId="0" borderId="8" xfId="0" applyFont="1" applyBorder="1" applyAlignment="1">
      <alignment wrapText="1"/>
    </xf>
    <xf numFmtId="9" fontId="9" fillId="0" borderId="8" xfId="0" applyNumberFormat="1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1" fillId="0" borderId="8" xfId="0" applyFont="1" applyBorder="1" applyAlignment="1">
      <alignment wrapText="1"/>
    </xf>
    <xf numFmtId="9" fontId="11" fillId="0" borderId="8" xfId="0" applyNumberFormat="1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3" applyAlignment="1">
      <alignment vertical="center"/>
    </xf>
    <xf numFmtId="0" fontId="16" fillId="0" borderId="0" xfId="0" applyFont="1"/>
    <xf numFmtId="0" fontId="17" fillId="0" borderId="0" xfId="0" applyFont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9" fontId="9" fillId="0" borderId="8" xfId="0" applyNumberFormat="1" applyFont="1" applyBorder="1" applyAlignment="1">
      <alignment horizontal="right" vertical="center" wrapText="1"/>
    </xf>
    <xf numFmtId="9" fontId="9" fillId="0" borderId="8" xfId="0" applyNumberFormat="1" applyFont="1" applyBorder="1" applyAlignment="1">
      <alignment horizontal="left" vertical="center" wrapText="1"/>
    </xf>
  </cellXfs>
  <cellStyles count="4">
    <cellStyle name="Good" xfId="1" builtinId="26"/>
    <cellStyle name="Hyperlink" xfId="3" builtinId="8"/>
    <cellStyle name="Normal" xfId="0" builtinId="0"/>
    <cellStyle name="Note" xfId="2" builtinId="10"/>
  </cellStyles>
  <dxfs count="4">
    <dxf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11</xdr:row>
      <xdr:rowOff>47625</xdr:rowOff>
    </xdr:from>
    <xdr:to>
      <xdr:col>3</xdr:col>
      <xdr:colOff>1710690</xdr:colOff>
      <xdr:row>11</xdr:row>
      <xdr:rowOff>1127646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FB27C-6302-42DF-9F12-4E4CDB74E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2440" y="3564255"/>
          <a:ext cx="1619250" cy="1074306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11</xdr:row>
      <xdr:rowOff>49531</xdr:rowOff>
    </xdr:from>
    <xdr:to>
      <xdr:col>3</xdr:col>
      <xdr:colOff>1767840</xdr:colOff>
      <xdr:row>11</xdr:row>
      <xdr:rowOff>1163321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D40275-33DC-45C9-BF4C-CD1B4E9CD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0" y="3568066"/>
          <a:ext cx="1668780" cy="1106170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18</xdr:row>
      <xdr:rowOff>31750</xdr:rowOff>
    </xdr:from>
    <xdr:to>
      <xdr:col>4</xdr:col>
      <xdr:colOff>3372042</xdr:colOff>
      <xdr:row>19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F796DE-D4E0-51DA-9E32-4D5162D4F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4100" y="7981950"/>
          <a:ext cx="3330767" cy="311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198120</xdr:colOff>
      <xdr:row>47</xdr:row>
      <xdr:rowOff>45720</xdr:rowOff>
    </xdr:from>
    <xdr:to>
      <xdr:col>17</xdr:col>
      <xdr:colOff>156845</xdr:colOff>
      <xdr:row>53</xdr:row>
      <xdr:rowOff>166370</xdr:rowOff>
    </xdr:to>
    <xdr:pic>
      <xdr:nvPicPr>
        <xdr:cNvPr id="3" name="Picture 2" descr="A white rectangular object with black lines&#10;&#10;Description automatically generated">
          <a:extLst>
            <a:ext uri="{FF2B5EF4-FFF2-40B4-BE49-F238E27FC236}">
              <a16:creationId xmlns:a16="http://schemas.microsoft.com/office/drawing/2014/main" id="{3F48B7CB-E96D-60EE-5786-1D67E629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4120" y="8641080"/>
          <a:ext cx="4225925" cy="121793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160020</xdr:rowOff>
    </xdr:from>
    <xdr:to>
      <xdr:col>18</xdr:col>
      <xdr:colOff>115158</xdr:colOff>
      <xdr:row>37</xdr:row>
      <xdr:rowOff>83820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CA1258-EA5A-8BA0-BD11-86A1DE266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0020"/>
          <a:ext cx="10783158" cy="669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8B69C-2073-41C4-AC27-CF0DAAC61552}" name="Table13" displayName="Table13" ref="J23:K28" totalsRowShown="0" headerRowDxfId="3" headerRowBorderDxfId="2" tableBorderDxfId="1">
  <autoFilter ref="J23:K28" xr:uid="{3A8A94F6-D0D7-4C1D-9B3D-D31E39D3283C}"/>
  <tableColumns count="2">
    <tableColumn id="1" xr3:uid="{AD29A65D-272D-442D-A3F6-5869722A1851}" name="Height (m)"/>
    <tableColumn id="2" xr3:uid="{EFDC162E-1753-4930-9358-867C97C7F1D6}" name="% Recove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2.gov.bc.ca/assets/gov/environment/natural-resource-stewardship/cumulative-effects/protocols/cef-aquatic-ecosystems-protocol-dec2020.pdf" TargetMode="External"/><Relationship Id="rId1" Type="http://schemas.openxmlformats.org/officeDocument/2006/relationships/hyperlink" Target="http://www.for.gov.bc.ca/hfd/pubs/docs/en/EN1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F82A-A759-49F5-B597-C46837E8C26E}">
  <sheetPr>
    <pageSetUpPr fitToPage="1"/>
  </sheetPr>
  <dimension ref="B1:L28"/>
  <sheetViews>
    <sheetView tabSelected="1" topLeftCell="A3" zoomScale="90" zoomScaleNormal="90" workbookViewId="0">
      <selection activeCell="H14" sqref="H14"/>
    </sheetView>
  </sheetViews>
  <sheetFormatPr defaultRowHeight="14.4" x14ac:dyDescent="0.3"/>
  <cols>
    <col min="2" max="2" width="11.44140625" customWidth="1"/>
    <col min="3" max="3" width="48.109375" customWidth="1"/>
    <col min="4" max="4" width="47.88671875" customWidth="1"/>
    <col min="5" max="5" width="54.21875" customWidth="1"/>
    <col min="6" max="6" width="33.109375" customWidth="1"/>
    <col min="7" max="7" width="42.109375" customWidth="1"/>
    <col min="8" max="9" width="33.21875" customWidth="1"/>
    <col min="10" max="10" width="12.21875" customWidth="1"/>
    <col min="11" max="11" width="13.109375" customWidth="1"/>
  </cols>
  <sheetData>
    <row r="1" spans="2:12" ht="28.95" customHeight="1" x14ac:dyDescent="0.3">
      <c r="B1" s="38" t="s">
        <v>14</v>
      </c>
      <c r="C1" s="38"/>
      <c r="D1" s="38"/>
      <c r="E1" s="38"/>
      <c r="F1" s="38"/>
      <c r="G1" s="38"/>
    </row>
    <row r="2" spans="2:12" ht="6" customHeight="1" x14ac:dyDescent="0.3"/>
    <row r="3" spans="2:12" ht="33" customHeight="1" x14ac:dyDescent="0.3">
      <c r="B3" s="39" t="s">
        <v>11</v>
      </c>
      <c r="C3" s="39"/>
      <c r="D3" s="39"/>
      <c r="E3" s="39"/>
      <c r="F3" s="39"/>
      <c r="G3" s="39"/>
    </row>
    <row r="4" spans="2:12" ht="33" customHeight="1" x14ac:dyDescent="0.3">
      <c r="B4" s="1"/>
      <c r="C4" s="1"/>
      <c r="D4" s="1"/>
      <c r="E4" s="1"/>
      <c r="F4" s="1"/>
      <c r="G4" s="1"/>
    </row>
    <row r="5" spans="2:12" ht="8.5500000000000007" customHeight="1" x14ac:dyDescent="0.3">
      <c r="B5" s="1"/>
      <c r="C5" s="1"/>
      <c r="D5" s="1"/>
      <c r="E5" s="1"/>
      <c r="F5" s="1"/>
      <c r="G5" s="1"/>
    </row>
    <row r="6" spans="2:12" x14ac:dyDescent="0.3">
      <c r="C6" s="2" t="s">
        <v>0</v>
      </c>
      <c r="D6" s="2" t="s">
        <v>34</v>
      </c>
      <c r="E6" s="2" t="s">
        <v>63</v>
      </c>
      <c r="F6" s="2" t="s">
        <v>25</v>
      </c>
      <c r="G6" s="2" t="s">
        <v>26</v>
      </c>
      <c r="K6" s="18" t="s">
        <v>31</v>
      </c>
    </row>
    <row r="7" spans="2:12" x14ac:dyDescent="0.3">
      <c r="B7" s="40" t="s">
        <v>2</v>
      </c>
      <c r="C7" s="3" t="s">
        <v>1</v>
      </c>
      <c r="D7" s="3" t="s">
        <v>1</v>
      </c>
      <c r="E7" s="3" t="s">
        <v>1</v>
      </c>
      <c r="F7" s="3"/>
      <c r="G7" s="4" t="s">
        <v>10</v>
      </c>
      <c r="L7" t="s">
        <v>33</v>
      </c>
    </row>
    <row r="8" spans="2:12" ht="121.8" customHeight="1" x14ac:dyDescent="0.3">
      <c r="B8" s="40"/>
      <c r="C8" s="6" t="s">
        <v>7</v>
      </c>
      <c r="D8" s="6" t="s">
        <v>12</v>
      </c>
      <c r="E8" s="6" t="s">
        <v>64</v>
      </c>
      <c r="F8" s="22" t="s">
        <v>111</v>
      </c>
      <c r="G8" s="4" t="s">
        <v>10</v>
      </c>
      <c r="L8" t="s">
        <v>32</v>
      </c>
    </row>
    <row r="9" spans="2:12" x14ac:dyDescent="0.3">
      <c r="B9" s="40"/>
      <c r="C9" s="8" t="s">
        <v>8</v>
      </c>
      <c r="D9" s="8" t="s">
        <v>8</v>
      </c>
      <c r="E9" s="8" t="s">
        <v>8</v>
      </c>
      <c r="F9" s="8"/>
      <c r="G9" s="4" t="s">
        <v>10</v>
      </c>
      <c r="K9" s="19" t="s">
        <v>37</v>
      </c>
    </row>
    <row r="10" spans="2:12" x14ac:dyDescent="0.3">
      <c r="B10" s="40"/>
      <c r="C10" s="6" t="s">
        <v>29</v>
      </c>
      <c r="D10" s="8"/>
      <c r="E10" s="6" t="s">
        <v>82</v>
      </c>
      <c r="F10" s="6"/>
      <c r="G10" s="4" t="s">
        <v>84</v>
      </c>
      <c r="K10" t="s">
        <v>38</v>
      </c>
    </row>
    <row r="11" spans="2:12" ht="43.2" x14ac:dyDescent="0.3">
      <c r="B11" s="40"/>
      <c r="C11" s="6" t="s">
        <v>4</v>
      </c>
      <c r="D11" s="8" t="s">
        <v>5</v>
      </c>
      <c r="E11" s="8" t="s">
        <v>5</v>
      </c>
      <c r="F11" s="8"/>
      <c r="G11" s="4" t="s">
        <v>10</v>
      </c>
      <c r="K11" t="s">
        <v>35</v>
      </c>
    </row>
    <row r="12" spans="2:12" ht="93" customHeight="1" x14ac:dyDescent="0.3">
      <c r="B12" s="40"/>
      <c r="C12" s="6" t="s">
        <v>24</v>
      </c>
      <c r="D12" s="6"/>
      <c r="E12" s="6" t="s">
        <v>110</v>
      </c>
      <c r="F12" s="8"/>
      <c r="G12" s="4" t="s">
        <v>10</v>
      </c>
    </row>
    <row r="13" spans="2:12" ht="88.8" customHeight="1" x14ac:dyDescent="0.3">
      <c r="B13" s="40"/>
      <c r="C13" s="6" t="s">
        <v>6</v>
      </c>
      <c r="D13" s="8"/>
      <c r="E13" s="31" t="s">
        <v>6</v>
      </c>
      <c r="F13" s="6"/>
      <c r="G13" s="9" t="s">
        <v>114</v>
      </c>
      <c r="K13" t="s">
        <v>36</v>
      </c>
    </row>
    <row r="14" spans="2:12" ht="86.4" x14ac:dyDescent="0.3">
      <c r="B14" s="40"/>
      <c r="C14" s="6" t="s">
        <v>23</v>
      </c>
      <c r="D14" s="8"/>
      <c r="E14" s="31" t="s">
        <v>65</v>
      </c>
      <c r="F14" s="6"/>
      <c r="G14" s="9" t="s">
        <v>122</v>
      </c>
    </row>
    <row r="15" spans="2:12" x14ac:dyDescent="0.3">
      <c r="B15" s="40"/>
      <c r="C15" s="8" t="s">
        <v>9</v>
      </c>
      <c r="D15" s="8"/>
      <c r="E15" s="5" t="s">
        <v>83</v>
      </c>
      <c r="F15" s="8"/>
      <c r="G15" s="7" t="s">
        <v>81</v>
      </c>
    </row>
    <row r="16" spans="2:12" ht="43.2" x14ac:dyDescent="0.3">
      <c r="B16" s="4" t="s">
        <v>16</v>
      </c>
      <c r="C16" s="10" t="s">
        <v>19</v>
      </c>
      <c r="D16" s="8" t="s">
        <v>3</v>
      </c>
      <c r="E16" s="8" t="s">
        <v>3</v>
      </c>
      <c r="F16" s="8"/>
      <c r="G16" s="7" t="s">
        <v>80</v>
      </c>
    </row>
    <row r="17" spans="2:12" x14ac:dyDescent="0.3">
      <c r="B17" s="4" t="s">
        <v>17</v>
      </c>
      <c r="C17" s="17" t="s">
        <v>28</v>
      </c>
      <c r="D17" s="8" t="s">
        <v>28</v>
      </c>
      <c r="E17" s="17" t="s">
        <v>28</v>
      </c>
      <c r="F17" s="17"/>
      <c r="G17" s="7" t="s">
        <v>10</v>
      </c>
    </row>
    <row r="18" spans="2:12" ht="10.5" customHeight="1" x14ac:dyDescent="0.3">
      <c r="B18" s="16"/>
      <c r="C18" s="4"/>
      <c r="D18" s="4"/>
      <c r="E18" s="4"/>
      <c r="F18" s="4"/>
      <c r="G18" s="4"/>
      <c r="K18" t="s">
        <v>39</v>
      </c>
    </row>
    <row r="19" spans="2:12" ht="247.8" customHeight="1" x14ac:dyDescent="0.3">
      <c r="B19" s="4" t="s">
        <v>15</v>
      </c>
      <c r="C19" s="11" t="e" vm="1">
        <v>#VALUE!</v>
      </c>
      <c r="D19" s="11" t="e" vm="2">
        <v>#VALUE!</v>
      </c>
      <c r="F19" s="11" t="e" vm="3">
        <v>#VALUE!</v>
      </c>
    </row>
    <row r="20" spans="2:12" x14ac:dyDescent="0.3">
      <c r="C20" s="14"/>
      <c r="D20" s="14"/>
      <c r="E20" s="14"/>
      <c r="F20" s="14"/>
      <c r="G20" s="15" t="s">
        <v>13</v>
      </c>
    </row>
    <row r="21" spans="2:12" x14ac:dyDescent="0.3">
      <c r="B21" s="9" t="s">
        <v>18</v>
      </c>
      <c r="C21" s="12" t="str">
        <f>ROUND(100*13.649/G21,2) &amp; "%"</f>
        <v>11.21%</v>
      </c>
      <c r="D21" s="13" t="str">
        <f>ROUND(100*12.03639/G21,2) &amp; "%"</f>
        <v>9.89%</v>
      </c>
      <c r="E21" s="13">
        <v>8.3599999999999994E-2</v>
      </c>
      <c r="F21" s="13"/>
      <c r="G21" s="11">
        <f>ROUND(1217128.108308/10000,2)</f>
        <v>121.71</v>
      </c>
      <c r="L21" t="s">
        <v>62</v>
      </c>
    </row>
    <row r="23" spans="2:12" x14ac:dyDescent="0.3">
      <c r="J23" s="20" t="s">
        <v>55</v>
      </c>
      <c r="K23" s="20" t="s">
        <v>56</v>
      </c>
    </row>
    <row r="24" spans="2:12" x14ac:dyDescent="0.3">
      <c r="J24" t="s">
        <v>57</v>
      </c>
      <c r="K24" s="21">
        <v>0</v>
      </c>
    </row>
    <row r="25" spans="2:12" x14ac:dyDescent="0.3">
      <c r="J25" t="s">
        <v>58</v>
      </c>
      <c r="K25" s="21">
        <v>25</v>
      </c>
    </row>
    <row r="26" spans="2:12" x14ac:dyDescent="0.3">
      <c r="J26" t="s">
        <v>59</v>
      </c>
      <c r="K26" s="21">
        <v>50</v>
      </c>
    </row>
    <row r="27" spans="2:12" x14ac:dyDescent="0.3">
      <c r="J27" t="s">
        <v>60</v>
      </c>
      <c r="K27" s="21">
        <v>75</v>
      </c>
    </row>
    <row r="28" spans="2:12" x14ac:dyDescent="0.3">
      <c r="J28" t="s">
        <v>61</v>
      </c>
      <c r="K28" s="21">
        <v>90</v>
      </c>
    </row>
  </sheetData>
  <mergeCells count="3">
    <mergeCell ref="B1:G1"/>
    <mergeCell ref="B3:G3"/>
    <mergeCell ref="B7:B15"/>
  </mergeCells>
  <pageMargins left="0.7" right="0.7" top="0.75" bottom="0.75" header="0.3" footer="0.3"/>
  <pageSetup scale="36" orientation="landscape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C7C0-E503-4100-BEE6-9051E450A35F}">
  <dimension ref="A1:F40"/>
  <sheetViews>
    <sheetView zoomScale="175" zoomScaleNormal="175" workbookViewId="0">
      <selection activeCell="E22" sqref="E22"/>
    </sheetView>
  </sheetViews>
  <sheetFormatPr defaultRowHeight="14.4" x14ac:dyDescent="0.3"/>
  <cols>
    <col min="1" max="1" width="11.77734375" style="23" customWidth="1"/>
    <col min="2" max="2" width="15" style="23" customWidth="1"/>
    <col min="3" max="3" width="9.109375" style="23" customWidth="1"/>
    <col min="4" max="4" width="37.6640625" style="23" customWidth="1"/>
    <col min="5" max="5" width="49.6640625" style="23" customWidth="1"/>
  </cols>
  <sheetData>
    <row r="1" spans="1:5" x14ac:dyDescent="0.3">
      <c r="A1" s="25" t="s">
        <v>79</v>
      </c>
      <c r="B1" s="25" t="s">
        <v>78</v>
      </c>
      <c r="C1" s="25" t="s">
        <v>77</v>
      </c>
      <c r="D1" s="25" t="s">
        <v>40</v>
      </c>
      <c r="E1" s="25" t="s">
        <v>41</v>
      </c>
    </row>
    <row r="2" spans="1:5" x14ac:dyDescent="0.3">
      <c r="A2" s="26" t="s">
        <v>20</v>
      </c>
      <c r="B2" s="27">
        <v>0.75</v>
      </c>
      <c r="C2" s="27" t="s">
        <v>53</v>
      </c>
      <c r="D2" s="26" t="s">
        <v>70</v>
      </c>
      <c r="E2" s="26" t="s">
        <v>76</v>
      </c>
    </row>
    <row r="3" spans="1:5" x14ac:dyDescent="0.3">
      <c r="A3" s="26" t="s">
        <v>30</v>
      </c>
      <c r="B3" s="27">
        <v>1</v>
      </c>
      <c r="C3" s="27" t="s">
        <v>53</v>
      </c>
      <c r="D3" s="26" t="s">
        <v>71</v>
      </c>
      <c r="E3" s="26" t="s">
        <v>72</v>
      </c>
    </row>
    <row r="4" spans="1:5" ht="27" customHeight="1" x14ac:dyDescent="0.3">
      <c r="A4" s="41" t="s">
        <v>21</v>
      </c>
      <c r="B4" s="42">
        <v>1</v>
      </c>
      <c r="C4" s="43" t="s">
        <v>53</v>
      </c>
      <c r="D4" s="26" t="s">
        <v>90</v>
      </c>
      <c r="E4" s="26" t="s">
        <v>91</v>
      </c>
    </row>
    <row r="5" spans="1:5" x14ac:dyDescent="0.3">
      <c r="A5" s="41"/>
      <c r="B5" s="42"/>
      <c r="C5" s="43"/>
      <c r="D5" s="26" t="s">
        <v>93</v>
      </c>
      <c r="E5" s="26"/>
    </row>
    <row r="6" spans="1:5" ht="19.2" customHeight="1" x14ac:dyDescent="0.3">
      <c r="A6" s="41"/>
      <c r="B6" s="42"/>
      <c r="C6" s="43"/>
      <c r="D6" s="26" t="s">
        <v>94</v>
      </c>
      <c r="E6" s="26"/>
    </row>
    <row r="7" spans="1:5" ht="18.600000000000001" customHeight="1" x14ac:dyDescent="0.3">
      <c r="A7" s="41"/>
      <c r="B7" s="42"/>
      <c r="C7" s="43"/>
      <c r="D7" s="26" t="s">
        <v>95</v>
      </c>
      <c r="E7" s="26"/>
    </row>
    <row r="8" spans="1:5" ht="21" customHeight="1" x14ac:dyDescent="0.3">
      <c r="A8" s="41"/>
      <c r="B8" s="42"/>
      <c r="C8" s="43"/>
      <c r="D8" s="26" t="s">
        <v>96</v>
      </c>
      <c r="E8" s="26"/>
    </row>
    <row r="9" spans="1:5" ht="18.600000000000001" customHeight="1" x14ac:dyDescent="0.3">
      <c r="A9" s="41"/>
      <c r="B9" s="42"/>
      <c r="C9" s="43"/>
      <c r="D9" s="26" t="s">
        <v>97</v>
      </c>
      <c r="E9" s="26"/>
    </row>
    <row r="10" spans="1:5" x14ac:dyDescent="0.3">
      <c r="A10" s="41" t="s">
        <v>51</v>
      </c>
      <c r="B10" s="42">
        <v>1</v>
      </c>
      <c r="C10" s="43" t="s">
        <v>53</v>
      </c>
      <c r="D10" s="26" t="s">
        <v>109</v>
      </c>
      <c r="E10" s="26" t="s">
        <v>92</v>
      </c>
    </row>
    <row r="11" spans="1:5" ht="16.2" x14ac:dyDescent="0.3">
      <c r="A11" s="41"/>
      <c r="B11" s="42"/>
      <c r="C11" s="43"/>
      <c r="D11" s="26" t="s">
        <v>108</v>
      </c>
      <c r="E11" s="26"/>
    </row>
    <row r="12" spans="1:5" x14ac:dyDescent="0.3">
      <c r="A12" s="41" t="s">
        <v>22</v>
      </c>
      <c r="B12" s="42">
        <v>1</v>
      </c>
      <c r="C12" s="43" t="s">
        <v>53</v>
      </c>
      <c r="D12" s="26" t="s">
        <v>98</v>
      </c>
      <c r="E12" s="26" t="s">
        <v>99</v>
      </c>
    </row>
    <row r="13" spans="1:5" ht="18.600000000000001" customHeight="1" x14ac:dyDescent="0.3">
      <c r="A13" s="41"/>
      <c r="B13" s="42"/>
      <c r="C13" s="43"/>
      <c r="D13" s="26" t="s">
        <v>101</v>
      </c>
      <c r="E13" s="26" t="s">
        <v>100</v>
      </c>
    </row>
    <row r="14" spans="1:5" ht="19.2" customHeight="1" x14ac:dyDescent="0.3">
      <c r="A14" s="41"/>
      <c r="B14" s="42"/>
      <c r="C14" s="43"/>
      <c r="D14" s="26" t="s">
        <v>102</v>
      </c>
      <c r="E14" s="26"/>
    </row>
    <row r="15" spans="1:5" ht="18.600000000000001" customHeight="1" x14ac:dyDescent="0.3">
      <c r="A15" s="41"/>
      <c r="B15" s="42"/>
      <c r="C15" s="43"/>
      <c r="D15" s="26" t="s">
        <v>103</v>
      </c>
      <c r="E15" s="26"/>
    </row>
    <row r="16" spans="1:5" ht="20.399999999999999" customHeight="1" x14ac:dyDescent="0.3">
      <c r="A16" s="41"/>
      <c r="B16" s="42"/>
      <c r="C16" s="43"/>
      <c r="D16" s="26" t="s">
        <v>104</v>
      </c>
      <c r="E16" s="26"/>
    </row>
    <row r="17" spans="1:6" ht="16.2" x14ac:dyDescent="0.3">
      <c r="A17" s="41"/>
      <c r="B17" s="42"/>
      <c r="C17" s="43"/>
      <c r="D17" s="26" t="s">
        <v>105</v>
      </c>
      <c r="E17" s="26" t="s">
        <v>106</v>
      </c>
    </row>
    <row r="18" spans="1:6" ht="29.4" customHeight="1" x14ac:dyDescent="0.3">
      <c r="A18" s="41"/>
      <c r="B18" s="42"/>
      <c r="C18" s="43"/>
      <c r="D18" s="26" t="s">
        <v>90</v>
      </c>
      <c r="E18" s="26" t="s">
        <v>107</v>
      </c>
    </row>
    <row r="19" spans="1:6" ht="46.8" customHeight="1" x14ac:dyDescent="0.3">
      <c r="A19" s="29" t="s">
        <v>27</v>
      </c>
      <c r="B19" s="29" t="s">
        <v>75</v>
      </c>
      <c r="C19" s="30" t="s">
        <v>54</v>
      </c>
      <c r="D19" s="29" t="s">
        <v>67</v>
      </c>
      <c r="E19" s="28"/>
      <c r="F19" s="23" t="s">
        <v>113</v>
      </c>
    </row>
    <row r="20" spans="1:6" x14ac:dyDescent="0.3">
      <c r="A20" s="26" t="s">
        <v>50</v>
      </c>
      <c r="B20" s="26" t="s">
        <v>43</v>
      </c>
      <c r="C20" s="27" t="s">
        <v>54</v>
      </c>
      <c r="D20" s="26" t="s">
        <v>73</v>
      </c>
      <c r="E20" s="26" t="s">
        <v>74</v>
      </c>
      <c r="F20" s="23"/>
    </row>
    <row r="21" spans="1:6" ht="16.2" x14ac:dyDescent="0.3">
      <c r="A21" s="26" t="s">
        <v>42</v>
      </c>
      <c r="B21" s="26" t="s">
        <v>43</v>
      </c>
      <c r="C21" s="27" t="s">
        <v>54</v>
      </c>
      <c r="D21" s="26" t="s">
        <v>66</v>
      </c>
      <c r="E21" s="26" t="s">
        <v>49</v>
      </c>
      <c r="F21" s="23" t="s">
        <v>112</v>
      </c>
    </row>
    <row r="22" spans="1:6" ht="49.8" customHeight="1" x14ac:dyDescent="0.3">
      <c r="A22" s="26" t="s">
        <v>44</v>
      </c>
      <c r="B22" s="26" t="s">
        <v>64</v>
      </c>
      <c r="C22" s="27" t="s">
        <v>54</v>
      </c>
      <c r="D22" s="26" t="s">
        <v>45</v>
      </c>
      <c r="E22" s="26"/>
      <c r="F22" s="23"/>
    </row>
    <row r="23" spans="1:6" ht="21.6" customHeight="1" x14ac:dyDescent="0.3">
      <c r="A23" s="26" t="s">
        <v>48</v>
      </c>
      <c r="B23" s="27">
        <v>1</v>
      </c>
      <c r="C23" s="27" t="s">
        <v>54</v>
      </c>
      <c r="D23" s="26" t="s">
        <v>46</v>
      </c>
      <c r="E23" s="26"/>
      <c r="F23" s="23"/>
    </row>
    <row r="24" spans="1:6" ht="19.8" customHeight="1" x14ac:dyDescent="0.3">
      <c r="A24" s="26" t="s">
        <v>52</v>
      </c>
      <c r="B24" s="27">
        <v>1</v>
      </c>
      <c r="C24" s="27" t="s">
        <v>54</v>
      </c>
      <c r="D24" s="26" t="s">
        <v>68</v>
      </c>
      <c r="E24" s="26"/>
      <c r="F24" s="23"/>
    </row>
    <row r="25" spans="1:6" ht="16.2" x14ac:dyDescent="0.3">
      <c r="A25" s="27" t="s">
        <v>47</v>
      </c>
      <c r="B25" s="27">
        <v>1</v>
      </c>
      <c r="C25" s="27" t="s">
        <v>54</v>
      </c>
      <c r="D25" s="26" t="s">
        <v>69</v>
      </c>
      <c r="E25" s="26"/>
      <c r="F25" s="23"/>
    </row>
    <row r="26" spans="1:6" ht="16.2" x14ac:dyDescent="0.3">
      <c r="A26" s="30" t="s">
        <v>85</v>
      </c>
      <c r="B26" s="30" t="s">
        <v>87</v>
      </c>
      <c r="C26" s="30" t="s">
        <v>86</v>
      </c>
      <c r="D26" s="29" t="s">
        <v>88</v>
      </c>
      <c r="E26" s="28" t="s">
        <v>89</v>
      </c>
      <c r="F26" s="23" t="s">
        <v>113</v>
      </c>
    </row>
    <row r="28" spans="1:6" x14ac:dyDescent="0.3">
      <c r="A28" s="24"/>
    </row>
    <row r="34" spans="1:1" x14ac:dyDescent="0.3">
      <c r="A34" s="24"/>
    </row>
    <row r="38" spans="1:1" x14ac:dyDescent="0.3">
      <c r="A38" s="24"/>
    </row>
    <row r="40" spans="1:1" x14ac:dyDescent="0.3">
      <c r="A40" s="24"/>
    </row>
  </sheetData>
  <mergeCells count="9">
    <mergeCell ref="A4:A9"/>
    <mergeCell ref="B4:B9"/>
    <mergeCell ref="C4:C9"/>
    <mergeCell ref="A12:A18"/>
    <mergeCell ref="B12:B18"/>
    <mergeCell ref="C12:C18"/>
    <mergeCell ref="A10:A11"/>
    <mergeCell ref="B10:B11"/>
    <mergeCell ref="C10:C11"/>
  </mergeCells>
  <pageMargins left="0.7" right="0.7" top="0.75" bottom="0.7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3A69-0912-45A6-B501-EE3AE869014A}">
  <dimension ref="A27:T46"/>
  <sheetViews>
    <sheetView workbookViewId="0">
      <selection activeCell="T29" sqref="T29"/>
    </sheetView>
  </sheetViews>
  <sheetFormatPr defaultRowHeight="14.4" x14ac:dyDescent="0.3"/>
  <sheetData>
    <row r="27" spans="20:20" x14ac:dyDescent="0.3">
      <c r="T27" s="34" t="s">
        <v>120</v>
      </c>
    </row>
    <row r="28" spans="20:20" x14ac:dyDescent="0.3">
      <c r="T28" s="35" t="s">
        <v>121</v>
      </c>
    </row>
    <row r="40" spans="1:17" x14ac:dyDescent="0.3">
      <c r="A40" s="37" t="s">
        <v>115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1:17" x14ac:dyDescent="0.3">
      <c r="A41" s="32" t="s">
        <v>116</v>
      </c>
    </row>
    <row r="42" spans="1:17" x14ac:dyDescent="0.3">
      <c r="A42" s="33" t="s">
        <v>117</v>
      </c>
    </row>
    <row r="45" spans="1:17" ht="51.6" customHeight="1" x14ac:dyDescent="0.3">
      <c r="A45" s="36" t="s">
        <v>118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7" x14ac:dyDescent="0.3">
      <c r="A46" s="33" t="s">
        <v>119</v>
      </c>
    </row>
  </sheetData>
  <mergeCells count="2">
    <mergeCell ref="A45:Q45"/>
    <mergeCell ref="A40:Q40"/>
  </mergeCells>
  <hyperlinks>
    <hyperlink ref="A42" r:id="rId1" display="http://www.for.gov.bc.ca/hfd/pubs/docs/en/EN116.PDF" xr:uid="{8F22B2C4-5CF5-4A99-AED1-3C8480BA46A4}"/>
    <hyperlink ref="A46" r:id="rId2" display="https://www2.gov.bc.ca/assets/gov/environment/natural-resource-stewardship/cumulative-effects/protocols/cef-aquatic-ecosystems-protocol-dec2020.pdf" xr:uid="{240B1041-6E14-49DB-8BC9-201DA323B42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Process</vt:lpstr>
      <vt:lpstr>Data Sources</vt:lpstr>
      <vt:lpstr>Recovery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Marr, Jennifer FOR:EX</dc:creator>
  <cp:lastModifiedBy>Marr, Jennifer FOR:EX</cp:lastModifiedBy>
  <cp:lastPrinted>2025-05-23T23:24:59Z</cp:lastPrinted>
  <dcterms:created xsi:type="dcterms:W3CDTF">2015-06-05T18:17:20Z</dcterms:created>
  <dcterms:modified xsi:type="dcterms:W3CDTF">2026-05-25T23:26:18Z</dcterms:modified>
</cp:coreProperties>
</file>